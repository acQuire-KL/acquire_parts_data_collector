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xr:revisionPtr revIDLastSave="0" documentId="13_ncr:1_{E5363A51-2DFD-49E6-B684-6133FEFD5AE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ummary" sheetId="1" r:id="rId1"/>
    <sheet name="BOM detail" sheetId="2" r:id="rId2"/>
    <sheet name="Sources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2" l="1"/>
  <c r="C19" i="2" s="1"/>
  <c r="B18" i="2"/>
  <c r="B20" i="2" s="1"/>
  <c r="C20" i="2" s="1"/>
  <c r="M14" i="2"/>
  <c r="J14" i="2"/>
  <c r="F14" i="2"/>
  <c r="K14" i="2" s="1"/>
  <c r="M13" i="2"/>
  <c r="J13" i="2"/>
  <c r="F13" i="2"/>
  <c r="K13" i="2" s="1"/>
  <c r="J12" i="2"/>
  <c r="F12" i="2"/>
  <c r="K12" i="2" s="1"/>
  <c r="M11" i="2"/>
  <c r="K11" i="2"/>
  <c r="J11" i="2"/>
  <c r="F11" i="2"/>
  <c r="M10" i="2"/>
  <c r="K10" i="2"/>
  <c r="J10" i="2"/>
  <c r="F10" i="2"/>
  <c r="M9" i="2"/>
  <c r="J9" i="2"/>
  <c r="F9" i="2"/>
  <c r="K9" i="2" s="1"/>
  <c r="M8" i="2"/>
  <c r="J8" i="2"/>
  <c r="F8" i="2"/>
  <c r="K8" i="2" s="1"/>
  <c r="J7" i="2"/>
  <c r="F7" i="2"/>
  <c r="K7" i="2" s="1"/>
  <c r="M6" i="2"/>
  <c r="K6" i="2"/>
  <c r="J6" i="2"/>
  <c r="F6" i="2"/>
  <c r="M5" i="2"/>
  <c r="K5" i="2"/>
  <c r="J5" i="2"/>
  <c r="F5" i="2"/>
  <c r="M4" i="2"/>
  <c r="J4" i="2"/>
  <c r="F4" i="2"/>
  <c r="K4" i="2" s="1"/>
  <c r="E7" i="1"/>
  <c r="F7" i="1" s="1"/>
  <c r="E5" i="1"/>
  <c r="F5" i="1" s="1"/>
  <c r="E4" i="1"/>
  <c r="E6" i="1" s="1"/>
  <c r="E8" i="1" l="1"/>
  <c r="F8" i="1" s="1"/>
  <c r="F6" i="1"/>
  <c r="M7" i="2"/>
  <c r="F4" i="1"/>
  <c r="M12" i="2"/>
  <c r="C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tc={EB04558E-4655-C6E1-18AB-AFFAF4A84D54}</author>
    <author>tc={046EE389-94D9-79B5-17F0-4E7C4EA907E9}</author>
  </authors>
  <commentList>
    <comment ref="I13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Planning allowance only. Replace with a formal IMX501-AACK-C quote for 1,000 pieces before approving product COGS.</t>
      </text>
    </comment>
    <comment ref="I14" authorId="1" shapeId="0" xr:uid="{00000000-0006-0000-01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Retail reference for a discontinued lens. Confirm exact optics, holder, IR filter, and mechanical stack before substitution.</t>
      </text>
    </comment>
  </commentList>
</comments>
</file>

<file path=xl/sharedStrings.xml><?xml version="1.0" encoding="utf-8"?>
<sst xmlns="http://schemas.openxmlformats.org/spreadsheetml/2006/main" count="199" uniqueCount="152">
  <si>
    <t>UC-F10 / UC-F11 major-component BOM cost</t>
  </si>
  <si>
    <t>Build quantity</t>
  </si>
  <si>
    <t>Cost metric</t>
  </si>
  <si>
    <t>Per unit</t>
  </si>
  <si>
    <t>1,000 units</t>
  </si>
  <si>
    <t>Confidence</t>
  </si>
  <si>
    <t>Meaning</t>
  </si>
  <si>
    <t>Currency</t>
  </si>
  <si>
    <t>USD</t>
  </si>
  <si>
    <t>UC-F10 sourced subtotal</t>
  </si>
  <si>
    <t>Medium</t>
  </si>
  <si>
    <t>Public pricing; some stock and packaging constraints remain</t>
  </si>
  <si>
    <t>Pricing date</t>
  </si>
  <si>
    <t>UC-F11 sourced subtotal, excl. IMX501</t>
  </si>
  <si>
    <t>Low</t>
  </si>
  <si>
    <t>Includes discontinued LN023 retail reference; excludes IMX501</t>
  </si>
  <si>
    <t>Scope</t>
  </si>
  <si>
    <t>Major components visible in screenshot only</t>
  </si>
  <si>
    <t>Combined sourced subtotal, excl. IMX501</t>
  </si>
  <si>
    <t>Purchasable-price view before the image sensor</t>
  </si>
  <si>
    <t>Freight / VAT / duty</t>
  </si>
  <si>
    <t>Excluded</t>
  </si>
  <si>
    <t>IMX501 budget allowance</t>
  </si>
  <si>
    <t>Uses an editable planning allowance, not a supplier quotation</t>
  </si>
  <si>
    <t>Camera sensor basis</t>
  </si>
  <si>
    <t>Budgetary allowance; supplier RFQ required</t>
  </si>
  <si>
    <t>Combined budgetary total</t>
  </si>
  <si>
    <t>Planning figure only; replace the IMX501 allowance after RFQ</t>
  </si>
  <si>
    <t>Key procurement findings</t>
  </si>
  <si>
    <t>• IMX501-AACK-C has no public 1,000-piece price. Obtain a formal quote from Sony/FRAMOS/Macnica before freezing COGS.</t>
  </si>
  <si>
    <t>• LN023 is discontinued and publicly listed as out of stock. Confirm whether the BOM means the complete lens + M12 adapter set.</t>
  </si>
  <si>
    <t>• RS0104YQ demand is 2,000 pcs. The checked LCSC stock was 1,959 pcs, leaving a 41-piece shortfall before attrition.</t>
  </si>
  <si>
    <t>• AP3428WT-7 public 1k pricing exists, but the checked DigiKey stock was only 112 pcs; Mouser showed 3,738 pcs at a 3,000-piece full-reel tier.</t>
  </si>
  <si>
    <t>• Prices exclude smaller passives, PCB, assembly, test, yield loss, logistics, VAT, duty, and supplier negotiation.</t>
  </si>
  <si>
    <t>Detailed cost model, 1,000 finished units</t>
  </si>
  <si>
    <t>Line</t>
  </si>
  <si>
    <t>Board</t>
  </si>
  <si>
    <t>MPN from screenshot</t>
  </si>
  <si>
    <t>Normalized MPN / description</t>
  </si>
  <si>
    <t>Qty / unit</t>
  </si>
  <si>
    <t>Required qty</t>
  </si>
  <si>
    <t>Supplier / basis</t>
  </si>
  <si>
    <t>Price type</t>
  </si>
  <si>
    <t>Unit price (USD)</t>
  </si>
  <si>
    <t>Extended / finished unit</t>
  </si>
  <si>
    <t>Extended / 1,000 units</t>
  </si>
  <si>
    <t>Stock checked</t>
  </si>
  <si>
    <t>Gap vs required</t>
  </si>
  <si>
    <t>Risk / action</t>
  </si>
  <si>
    <t>Source ID</t>
  </si>
  <si>
    <t>UC-F10</t>
  </si>
  <si>
    <t>W25Q128JVPIQ</t>
  </si>
  <si>
    <t>Winbond 128-Mbit SPI/QPI NOR, 8-WSON</t>
  </si>
  <si>
    <t>LCSC, 700+ tier</t>
  </si>
  <si>
    <t>Public price</t>
  </si>
  <si>
    <t>Enough public stock; 1,000-unit order qualifies for 700+ tier</t>
  </si>
  <si>
    <t>S1</t>
  </si>
  <si>
    <t>ESP-PSRAM64H</t>
  </si>
  <si>
    <t>Espressif 64-Mbit 3.3 V PSRAM, SOIC-8</t>
  </si>
  <si>
    <t>DigiKey / Adafruit retail</t>
  </si>
  <si>
    <t>No published volume tier; request direct Espressif/EMS quote</t>
  </si>
  <si>
    <t>S2</t>
  </si>
  <si>
    <t>RP2350A</t>
  </si>
  <si>
    <t>Raspberry Pi MCU, QFN-60</t>
  </si>
  <si>
    <t>Raspberry Pi 7-inch reel, 500 pcs</t>
  </si>
  <si>
    <t>Manufacturer list</t>
  </si>
  <si>
    <t>Two 500-piece reels meet 1,000-unit build; confirm reseller price</t>
  </si>
  <si>
    <t>S3</t>
  </si>
  <si>
    <t>AP7331-18WG</t>
  </si>
  <si>
    <t>AP7331-18WG-7, 1.8 V / 300 mA LDO</t>
  </si>
  <si>
    <t>DigiKey, 1,000+ tier</t>
  </si>
  <si>
    <t>Screenshot omits -7 packing suffix; normalized to reel/cut-tape orderable MPN</t>
  </si>
  <si>
    <t>S4</t>
  </si>
  <si>
    <t>AP3428WT-7</t>
  </si>
  <si>
    <t>Diodes Inc. 1 A adjustable buck, TSOT-25</t>
  </si>
  <si>
    <t>Public stock below requirement; seek 3k reel or alternate distributor</t>
  </si>
  <si>
    <t>S5</t>
  </si>
  <si>
    <t>RS0104YQ</t>
  </si>
  <si>
    <t>Runic 4-bit bidirectional level translator, TSSOP-14</t>
  </si>
  <si>
    <t>LCSC, 100+ tier</t>
  </si>
  <si>
    <t>Needs 2,000 pcs; public stock is 41 pcs short before attrition</t>
  </si>
  <si>
    <t>S6</t>
  </si>
  <si>
    <t>UC-F11</t>
  </si>
  <si>
    <t>AP7331-28WG</t>
  </si>
  <si>
    <t>AP7331-28WG-7, 2.8 V / 300 mA LDO</t>
  </si>
  <si>
    <t>Mouser, 500+ tier</t>
  </si>
  <si>
    <t>218 pcs short in immediate stock; 12k shown on order</t>
  </si>
  <si>
    <t>S7</t>
  </si>
  <si>
    <t>Screenshot omits -7 packing suffix</t>
  </si>
  <si>
    <t>Public stock below requirement</t>
  </si>
  <si>
    <t>IMX501-AACK-C</t>
  </si>
  <si>
    <t>Sony 12.3 MP packaged intelligent vision sensor</t>
  </si>
  <si>
    <t>Planning allowance; replace after RFQ</t>
  </si>
  <si>
    <t>Budget estimate</t>
  </si>
  <si>
    <t>No public 1k quote. $135 is an editable budget placeholder based on Sony's historical ¥20,000 sample price, discounted for volume</t>
  </si>
  <si>
    <t>S8</t>
  </si>
  <si>
    <t>LN023</t>
  </si>
  <si>
    <t>Arducam M23430M14, 1/2.3-inch 6 mm M12 lens + adapter</t>
  </si>
  <si>
    <t>Arducam / Welectron retail reference</t>
  </si>
  <si>
    <t>Discontinued reference</t>
  </si>
  <si>
    <t>Discontinued / out of stock; identify production replacement and volume quote</t>
  </si>
  <si>
    <t>S9</t>
  </si>
  <si>
    <t>Totals by board</t>
  </si>
  <si>
    <t>Metric</t>
  </si>
  <si>
    <t>For 1,000 units</t>
  </si>
  <si>
    <t>UC-F11 including sensor allowance</t>
  </si>
  <si>
    <t>Combined</t>
  </si>
  <si>
    <t>Pricing and identification sources</t>
  </si>
  <si>
    <t>ID</t>
  </si>
  <si>
    <t>MPN</t>
  </si>
  <si>
    <t>Supplier / publisher</t>
  </si>
  <si>
    <t>Price or fact used</t>
  </si>
  <si>
    <t>Checked</t>
  </si>
  <si>
    <t>URL</t>
  </si>
  <si>
    <t>Notes</t>
  </si>
  <si>
    <t>LCSC</t>
  </si>
  <si>
    <t>$2.6237 at 700+; 13,664 stock</t>
  </si>
  <si>
    <t>https://www.lcsc.com/product-detail/C190862.html</t>
  </si>
  <si>
    <t>1,000 pcs qualifies for the 700+ tier</t>
  </si>
  <si>
    <t>DigiKey / Adafruit</t>
  </si>
  <si>
    <t>$1.75 each; 6,087 stock</t>
  </si>
  <si>
    <t>https://www.digikey.com/en/products/detail/adafruit-industries-llc/4677/13148775</t>
  </si>
  <si>
    <t>Retail breakout price; volume RFQ recommended</t>
  </si>
  <si>
    <t>Raspberry Pi</t>
  </si>
  <si>
    <t>$0.90 each on 500-piece 7-inch reel</t>
  </si>
  <si>
    <t>https://www.raspberrypi.com/news/rp2350-now-available-to-buy-a-high-performance-secure-microcontroller-for-your-next-project/</t>
  </si>
  <si>
    <t>Two reels assumed for 1,000 units</t>
  </si>
  <si>
    <t>AP7331-18WG-7</t>
  </si>
  <si>
    <t>DigiKey</t>
  </si>
  <si>
    <t>$0.12485 at 1,000+; 30,409 stock</t>
  </si>
  <si>
    <t>https://www.digikey.com/en/products/detail/diodes-incorporated/AP7331-18WG-7/2182601</t>
  </si>
  <si>
    <t>Public distributor price</t>
  </si>
  <si>
    <t>$0.10141 at 1,000+; 112 stock</t>
  </si>
  <si>
    <t>https://www.digikey.com/en/products/detail/diodes-incorporated/AP3428WT-7/13930252</t>
  </si>
  <si>
    <t>Price tier available, immediate stock insufficient</t>
  </si>
  <si>
    <t>$0.2475 at 100+; 1,959 stock</t>
  </si>
  <si>
    <t>https://www.lcsc.com/product-detail/C2762288.html</t>
  </si>
  <si>
    <t>Public page requests RFQ above 100 pcs; price carried as budget basis</t>
  </si>
  <si>
    <t>AP7331-28WG-7</t>
  </si>
  <si>
    <t>Mouser</t>
  </si>
  <si>
    <t>$0.157 at 500+; 782 stock; 12,000 on order</t>
  </si>
  <si>
    <t>https://www.mouser.com/en/ProductDetail/Diodes-Incorporated/AP7331-28WG-7</t>
  </si>
  <si>
    <t>1,000 units uses the 500+ tier</t>
  </si>
  <si>
    <t>Sony</t>
  </si>
  <si>
    <t>Historical sample price ¥20,000; public 1k price unavailable</t>
  </si>
  <si>
    <t>https://www.sony.com/en/SonyInfo/News/Press/202005/20-037E/</t>
  </si>
  <si>
    <t>Workbook uses $135 planning allowance. Replace after authorized distributor RFQ</t>
  </si>
  <si>
    <t>LN023 / M23430M14</t>
  </si>
  <si>
    <t>Arducam / Welectron</t>
  </si>
  <si>
    <t>Retail reference $12.99 / €12.02 ex VAT; discontinued/out of stock</t>
  </si>
  <si>
    <t>https://www.welectron.com/Arducam-LN023-M23430M14-M12-S-Mount-Lens-with-Adapter-for-HQ-Camera-1-23-6mm</t>
  </si>
  <si>
    <t>Confirm whether lens holder/adapter is included in production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</si>
</sst>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"/>
    <numFmt numFmtId="166" formatCode="\$#,##0.0000"/>
  </numFmts>
  <fonts count="7" x14ac:knownFonts="1">
    <font>
      <sz val="11"/>
      <name val="Carlito"/>
    </font>
    <font>
      <b/>
      <sz val="18"/>
      <color rgb="FFFFFFFF"/>
      <name val="Aptos"/>
    </font>
    <font>
      <sz val="11"/>
      <name val="Aptos"/>
    </font>
    <font>
      <b/>
      <sz val="11"/>
      <color rgb="FF243447"/>
      <name val="Aptos"/>
    </font>
    <font>
      <b/>
      <sz val="11"/>
      <color rgb="FFFFFFFF"/>
      <name val="Aptos"/>
    </font>
    <font>
      <b/>
      <sz val="11"/>
      <name val="Aptos"/>
    </font>
    <font>
      <b/>
      <sz val="16"/>
      <color rgb="FFFFFFFF"/>
      <name val="Aptos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DF5FB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E7E6E6"/>
      </patternFill>
    </fill>
  </fills>
  <borders count="31">
    <border>
      <left/>
      <right/>
      <top/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8EA9DB"/>
      </left>
      <right/>
      <top style="thin">
        <color rgb="FF8EA9DB"/>
      </top>
      <bottom/>
      <diagonal/>
    </border>
    <border>
      <left/>
      <right/>
      <top style="thin">
        <color rgb="FF8EA9DB"/>
      </top>
      <bottom/>
      <diagonal/>
    </border>
    <border>
      <left/>
      <right style="thin">
        <color rgb="FF8EA9DB"/>
      </right>
      <top style="thin">
        <color rgb="FF8EA9DB"/>
      </top>
      <bottom/>
      <diagonal/>
    </border>
    <border>
      <left style="thin">
        <color rgb="FF8EA9DB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8EA9DB"/>
      </right>
      <top/>
      <bottom style="thin">
        <color rgb="FFD9E2F3"/>
      </bottom>
      <diagonal/>
    </border>
    <border>
      <left style="thin">
        <color rgb="FF8EA9DB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8EA9DB"/>
      </right>
      <top style="thin">
        <color rgb="FFD9E2F3"/>
      </top>
      <bottom style="thin">
        <color rgb="FFD9E2F3"/>
      </bottom>
      <diagonal/>
    </border>
    <border>
      <left style="thin">
        <color rgb="FF8EA9DB"/>
      </left>
      <right style="thin">
        <color rgb="FFD9E2F3"/>
      </right>
      <top style="thin">
        <color rgb="FFD9E2F3"/>
      </top>
      <bottom style="thin">
        <color rgb="FF8EA9DB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8EA9DB"/>
      </bottom>
      <diagonal/>
    </border>
    <border>
      <left style="thin">
        <color rgb="FFD9E2F3"/>
      </left>
      <right style="thin">
        <color rgb="FF8EA9DB"/>
      </right>
      <top style="thin">
        <color rgb="FFD9E2F3"/>
      </top>
      <bottom style="thin">
        <color rgb="FF8EA9DB"/>
      </bottom>
      <diagonal/>
    </border>
    <border>
      <left style="thin">
        <color rgb="FFE1E8EF"/>
      </left>
      <right style="thin">
        <color rgb="FFE1E8EF"/>
      </right>
      <top/>
      <bottom style="thin">
        <color rgb="FFE1E8EF"/>
      </bottom>
      <diagonal/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  <diagonal/>
    </border>
    <border>
      <left style="thin">
        <color rgb="FF8EA9DB"/>
      </left>
      <right style="thin">
        <color rgb="FFE1E8EF"/>
      </right>
      <top/>
      <bottom style="thin">
        <color rgb="FFE1E8EF"/>
      </bottom>
      <diagonal/>
    </border>
    <border>
      <left style="thin">
        <color rgb="FFE1E8EF"/>
      </left>
      <right style="thin">
        <color rgb="FF8EA9DB"/>
      </right>
      <top/>
      <bottom style="thin">
        <color rgb="FFE1E8EF"/>
      </bottom>
      <diagonal/>
    </border>
    <border>
      <left style="thin">
        <color rgb="FF8EA9DB"/>
      </left>
      <right style="thin">
        <color rgb="FFE1E8EF"/>
      </right>
      <top style="thin">
        <color rgb="FFE1E8EF"/>
      </top>
      <bottom style="thin">
        <color rgb="FFE1E8EF"/>
      </bottom>
      <diagonal/>
    </border>
    <border>
      <left style="thin">
        <color rgb="FFE1E8EF"/>
      </left>
      <right style="thin">
        <color rgb="FF8EA9DB"/>
      </right>
      <top style="thin">
        <color rgb="FFE1E8EF"/>
      </top>
      <bottom style="thin">
        <color rgb="FFE1E8EF"/>
      </bottom>
      <diagonal/>
    </border>
    <border>
      <left style="thin">
        <color rgb="FF8EA9DB"/>
      </left>
      <right style="thin">
        <color rgb="FFE1E8EF"/>
      </right>
      <top style="thin">
        <color rgb="FFE1E8EF"/>
      </top>
      <bottom style="thin">
        <color rgb="FF8EA9DB"/>
      </bottom>
      <diagonal/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8EA9DB"/>
      </bottom>
      <diagonal/>
    </border>
    <border>
      <left style="thin">
        <color rgb="FFE1E8EF"/>
      </left>
      <right style="thin">
        <color rgb="FF8EA9DB"/>
      </right>
      <top style="thin">
        <color rgb="FFE1E8EF"/>
      </top>
      <bottom style="thin">
        <color rgb="FF8EA9DB"/>
      </bottom>
      <diagonal/>
    </border>
    <border>
      <left style="thin">
        <color rgb="FF8EA9DB"/>
      </left>
      <right style="thin">
        <color rgb="FFE1E8EF"/>
      </right>
      <top style="thin">
        <color rgb="FF8EA9DB"/>
      </top>
      <bottom style="thin">
        <color rgb="FFE1E8EF"/>
      </bottom>
      <diagonal/>
    </border>
    <border>
      <left style="thin">
        <color rgb="FFE1E8EF"/>
      </left>
      <right style="thin">
        <color rgb="FFE1E8EF"/>
      </right>
      <top style="thin">
        <color rgb="FF8EA9DB"/>
      </top>
      <bottom style="thin">
        <color rgb="FFE1E8EF"/>
      </bottom>
      <diagonal/>
    </border>
    <border>
      <left style="thin">
        <color rgb="FFE1E8EF"/>
      </left>
      <right style="thin">
        <color rgb="FF8EA9DB"/>
      </right>
      <top style="thin">
        <color rgb="FF8EA9DB"/>
      </top>
      <bottom style="thin">
        <color rgb="FFE1E8EF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3" fillId="3" borderId="1" xfId="0" applyFont="1" applyFill="1" applyBorder="1"/>
    <xf numFmtId="3" fontId="2" fillId="4" borderId="2" xfId="0" applyNumberFormat="1" applyFont="1" applyFill="1" applyBorder="1" applyAlignment="1">
      <alignment wrapText="1"/>
    </xf>
    <xf numFmtId="0" fontId="4" fillId="2" borderId="9" xfId="0" applyFont="1" applyFill="1" applyBorder="1" applyAlignment="1">
      <alignment wrapText="1"/>
    </xf>
    <xf numFmtId="0" fontId="4" fillId="2" borderId="10" xfId="0" applyFont="1" applyFill="1" applyBorder="1" applyAlignment="1">
      <alignment wrapText="1"/>
    </xf>
    <xf numFmtId="0" fontId="4" fillId="2" borderId="11" xfId="0" applyFont="1" applyFill="1" applyBorder="1" applyAlignment="1">
      <alignment wrapText="1"/>
    </xf>
    <xf numFmtId="0" fontId="3" fillId="3" borderId="3" xfId="0" applyFont="1" applyFill="1" applyBorder="1"/>
    <xf numFmtId="0" fontId="2" fillId="4" borderId="4" xfId="0" applyFont="1" applyFill="1" applyBorder="1" applyAlignment="1">
      <alignment wrapText="1"/>
    </xf>
    <xf numFmtId="0" fontId="2" fillId="0" borderId="12" xfId="0" applyFont="1" applyBorder="1"/>
    <xf numFmtId="165" fontId="2" fillId="0" borderId="7" xfId="0" applyNumberFormat="1" applyFont="1" applyBorder="1"/>
    <xf numFmtId="0" fontId="2" fillId="0" borderId="7" xfId="0" applyFont="1" applyBorder="1"/>
    <xf numFmtId="0" fontId="2" fillId="0" borderId="13" xfId="0" applyFont="1" applyBorder="1" applyAlignment="1">
      <alignment wrapText="1"/>
    </xf>
    <xf numFmtId="164" fontId="2" fillId="4" borderId="4" xfId="0" applyNumberFormat="1" applyFont="1" applyFill="1" applyBorder="1" applyAlignment="1">
      <alignment wrapText="1"/>
    </xf>
    <xf numFmtId="0" fontId="2" fillId="0" borderId="14" xfId="0" applyFont="1" applyBorder="1"/>
    <xf numFmtId="165" fontId="2" fillId="0" borderId="8" xfId="0" applyNumberFormat="1" applyFont="1" applyBorder="1"/>
    <xf numFmtId="0" fontId="2" fillId="0" borderId="8" xfId="0" applyFont="1" applyBorder="1"/>
    <xf numFmtId="0" fontId="2" fillId="0" borderId="15" xfId="0" applyFont="1" applyBorder="1" applyAlignment="1">
      <alignment wrapText="1"/>
    </xf>
    <xf numFmtId="0" fontId="3" fillId="3" borderId="5" xfId="0" applyFont="1" applyFill="1" applyBorder="1"/>
    <xf numFmtId="0" fontId="2" fillId="4" borderId="6" xfId="0" applyFont="1" applyFill="1" applyBorder="1" applyAlignment="1">
      <alignment wrapText="1"/>
    </xf>
    <xf numFmtId="0" fontId="5" fillId="5" borderId="16" xfId="0" applyFont="1" applyFill="1" applyBorder="1"/>
    <xf numFmtId="165" fontId="5" fillId="5" borderId="17" xfId="0" applyNumberFormat="1" applyFont="1" applyFill="1" applyBorder="1"/>
    <xf numFmtId="0" fontId="5" fillId="5" borderId="17" xfId="0" applyFont="1" applyFill="1" applyBorder="1"/>
    <xf numFmtId="0" fontId="5" fillId="5" borderId="18" xfId="0" applyFont="1" applyFill="1" applyBorder="1" applyAlignment="1">
      <alignment wrapText="1"/>
    </xf>
    <xf numFmtId="0" fontId="4" fillId="2" borderId="9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2" fillId="0" borderId="21" xfId="0" applyFont="1" applyBorder="1"/>
    <xf numFmtId="0" fontId="2" fillId="0" borderId="19" xfId="0" applyFont="1" applyBorder="1"/>
    <xf numFmtId="0" fontId="2" fillId="0" borderId="19" xfId="0" applyFont="1" applyBorder="1" applyAlignment="1">
      <alignment wrapText="1"/>
    </xf>
    <xf numFmtId="3" fontId="2" fillId="0" borderId="19" xfId="0" applyNumberFormat="1" applyFont="1" applyBorder="1"/>
    <xf numFmtId="166" fontId="2" fillId="0" borderId="19" xfId="0" applyNumberFormat="1" applyFont="1" applyBorder="1"/>
    <xf numFmtId="38" fontId="2" fillId="0" borderId="19" xfId="0" applyNumberFormat="1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0" xfId="0" applyFont="1" applyBorder="1"/>
    <xf numFmtId="0" fontId="2" fillId="0" borderId="20" xfId="0" applyFont="1" applyBorder="1" applyAlignment="1">
      <alignment wrapText="1"/>
    </xf>
    <xf numFmtId="3" fontId="2" fillId="0" borderId="20" xfId="0" applyNumberFormat="1" applyFont="1" applyBorder="1"/>
    <xf numFmtId="166" fontId="2" fillId="0" borderId="20" xfId="0" applyNumberFormat="1" applyFont="1" applyBorder="1"/>
    <xf numFmtId="38" fontId="2" fillId="0" borderId="20" xfId="0" applyNumberFormat="1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6" xfId="0" applyFont="1" applyBorder="1" applyAlignment="1">
      <alignment wrapText="1"/>
    </xf>
    <xf numFmtId="3" fontId="2" fillId="0" borderId="26" xfId="0" applyNumberFormat="1" applyFont="1" applyBorder="1"/>
    <xf numFmtId="166" fontId="2" fillId="0" borderId="26" xfId="0" applyNumberFormat="1" applyFont="1" applyBorder="1"/>
    <xf numFmtId="38" fontId="2" fillId="0" borderId="26" xfId="0" applyNumberFormat="1" applyFont="1" applyBorder="1"/>
    <xf numFmtId="0" fontId="2" fillId="0" borderId="27" xfId="0" applyFont="1" applyBorder="1"/>
    <xf numFmtId="0" fontId="5" fillId="7" borderId="0" xfId="0" applyFont="1" applyFill="1"/>
    <xf numFmtId="165" fontId="2" fillId="0" borderId="0" xfId="0" applyNumberFormat="1" applyFont="1"/>
    <xf numFmtId="0" fontId="5" fillId="5" borderId="0" xfId="0" applyFont="1" applyFill="1"/>
    <xf numFmtId="165" fontId="5" fillId="5" borderId="0" xfId="0" applyNumberFormat="1" applyFont="1" applyFill="1"/>
    <xf numFmtId="0" fontId="4" fillId="2" borderId="28" xfId="0" applyFont="1" applyFill="1" applyBorder="1" applyAlignment="1">
      <alignment wrapText="1"/>
    </xf>
    <xf numFmtId="0" fontId="4" fillId="2" borderId="29" xfId="0" applyFont="1" applyFill="1" applyBorder="1" applyAlignment="1">
      <alignment wrapText="1"/>
    </xf>
    <xf numFmtId="0" fontId="4" fillId="2" borderId="30" xfId="0" applyFont="1" applyFill="1" applyBorder="1" applyAlignment="1">
      <alignment wrapText="1"/>
    </xf>
    <xf numFmtId="164" fontId="2" fillId="0" borderId="20" xfId="0" applyNumberFormat="1" applyFont="1" applyBorder="1" applyAlignment="1">
      <alignment wrapText="1"/>
    </xf>
    <xf numFmtId="0" fontId="2" fillId="0" borderId="24" xfId="0" applyFont="1" applyBorder="1" applyAlignment="1">
      <alignment wrapText="1"/>
    </xf>
    <xf numFmtId="164" fontId="2" fillId="0" borderId="26" xfId="0" applyNumberFormat="1" applyFont="1" applyBorder="1" applyAlignment="1">
      <alignment wrapText="1"/>
    </xf>
    <xf numFmtId="0" fontId="2" fillId="0" borderId="27" xfId="0" applyFont="1" applyBorder="1" applyAlignment="1">
      <alignment wrapText="1"/>
    </xf>
    <xf numFmtId="0" fontId="1" fillId="2" borderId="0" xfId="0" applyFont="1" applyFill="1" applyAlignment="1">
      <alignment vertical="center"/>
    </xf>
    <xf numFmtId="0" fontId="3" fillId="6" borderId="0" xfId="0" applyFont="1" applyFill="1"/>
    <xf numFmtId="0" fontId="2" fillId="0" borderId="0" xfId="0" applyFont="1" applyAlignment="1">
      <alignment vertical="center" wrapText="1"/>
    </xf>
    <xf numFmtId="0" fontId="6" fillId="2" borderId="0" xfId="0" applyFont="1" applyFill="1"/>
  </cellXfs>
  <cellStyles count="1">
    <cellStyle name="Normal" xfId="0" builtinId="0"/>
  </cellStyles>
  <dxfs count="5">
    <dxf>
      <font>
        <b/>
        <color rgb="FF9C0006"/>
      </font>
      <fill>
        <patternFill patternType="solid">
          <bgColor rgb="FFFCE4D6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381000</xdr:colOff>
      <xdr:row>20</xdr:row>
      <xdr:rowOff>161925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0F987371-A894-126A-41E8-107A94C4650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artosz" id="{07C003EC-9F2D-4186-BADA-AF16942211F9}" userId="" providerId=""/>
</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3" dT="2026-07-23T08:44:39.60" personId="{07C003EC-9F2D-4186-BADA-AF16942211F9}" id="{EB04558E-4655-C6E1-18AB-AFFAF4A84D54}">
    <text>Planning allowance only. Replace with a formal IMX501-AACK-C quote for 1,000 pieces before approving product COGS.</text>
  </threadedComment>
  <threadedComment ref="I14" dT="2026-07-23T08:44:39.60" personId="{07C003EC-9F2D-4186-BADA-AF16942211F9}" id="{046EE389-94D9-79B5-17F0-4E7C4EA907E9}">
    <text>Retail reference for a discontinued lens. Confirm exact optics, holder, IR filter, and mechanical stack before substitution.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tabSelected="1" workbookViewId="0">
      <selection activeCell="F17" sqref="F17"/>
    </sheetView>
  </sheetViews>
  <sheetFormatPr defaultRowHeight="15" x14ac:dyDescent="0.25"/>
  <cols>
    <col min="1" max="1" width="23" customWidth="1"/>
    <col min="2" max="2" width="34" customWidth="1"/>
    <col min="3" max="3" width="3" customWidth="1"/>
    <col min="4" max="4" width="32" customWidth="1"/>
    <col min="5" max="6" width="16" customWidth="1"/>
    <col min="7" max="7" width="13" customWidth="1"/>
    <col min="8" max="8" width="43" customWidth="1"/>
  </cols>
  <sheetData>
    <row r="1" spans="1:8" ht="33.950000000000003" customHeight="1" x14ac:dyDescent="0.25">
      <c r="A1" s="59" t="s">
        <v>0</v>
      </c>
      <c r="B1" s="59"/>
      <c r="C1" s="59"/>
      <c r="D1" s="59"/>
      <c r="E1" s="59"/>
      <c r="F1" s="59"/>
      <c r="G1" s="59"/>
      <c r="H1" s="59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3">
        <v>1000</v>
      </c>
      <c r="C3" s="1"/>
      <c r="D3" s="4" t="s">
        <v>2</v>
      </c>
      <c r="E3" s="5" t="s">
        <v>3</v>
      </c>
      <c r="F3" s="5" t="s">
        <v>4</v>
      </c>
      <c r="G3" s="5" t="s">
        <v>5</v>
      </c>
      <c r="H3" s="6" t="s">
        <v>6</v>
      </c>
    </row>
    <row r="4" spans="1:8" ht="30" x14ac:dyDescent="0.25">
      <c r="A4" s="7" t="s">
        <v>7</v>
      </c>
      <c r="B4" s="8" t="s">
        <v>8</v>
      </c>
      <c r="C4" s="1"/>
      <c r="D4" s="9" t="s">
        <v>9</v>
      </c>
      <c r="E4" s="10">
        <f>SUMIF('BOM detail'!$B$4:$B$14,"UC-F10",'BOM detail'!$J$4:$J$14)</f>
        <v>5.9949599999999998</v>
      </c>
      <c r="F4" s="10">
        <f>E4*$B$3</f>
        <v>5994.96</v>
      </c>
      <c r="G4" s="11" t="s">
        <v>10</v>
      </c>
      <c r="H4" s="12" t="s">
        <v>11</v>
      </c>
    </row>
    <row r="5" spans="1:8" ht="30" x14ac:dyDescent="0.25">
      <c r="A5" s="7" t="s">
        <v>12</v>
      </c>
      <c r="B5" s="13">
        <v>46226</v>
      </c>
      <c r="C5" s="1"/>
      <c r="D5" s="14" t="s">
        <v>13</v>
      </c>
      <c r="E5" s="15">
        <f>SUMIFS('BOM detail'!$J$4:$J$14,'BOM detail'!$B$4:$B$14,"UC-F11",'BOM detail'!$H$4:$H$14,"&lt;&gt;Budget estimate")</f>
        <v>13.37326</v>
      </c>
      <c r="F5" s="15">
        <f>E5*$B$3</f>
        <v>13373.26</v>
      </c>
      <c r="G5" s="16" t="s">
        <v>14</v>
      </c>
      <c r="H5" s="17" t="s">
        <v>15</v>
      </c>
    </row>
    <row r="6" spans="1:8" ht="30" x14ac:dyDescent="0.25">
      <c r="A6" s="7" t="s">
        <v>16</v>
      </c>
      <c r="B6" s="8" t="s">
        <v>17</v>
      </c>
      <c r="C6" s="1"/>
      <c r="D6" s="14" t="s">
        <v>18</v>
      </c>
      <c r="E6" s="15">
        <f>E4+E5</f>
        <v>19.368220000000001</v>
      </c>
      <c r="F6" s="15">
        <f>E6*$B$3</f>
        <v>19368.22</v>
      </c>
      <c r="G6" s="16" t="s">
        <v>10</v>
      </c>
      <c r="H6" s="17" t="s">
        <v>19</v>
      </c>
    </row>
    <row r="7" spans="1:8" ht="30" x14ac:dyDescent="0.25">
      <c r="A7" s="7" t="s">
        <v>20</v>
      </c>
      <c r="B7" s="8" t="s">
        <v>21</v>
      </c>
      <c r="C7" s="1"/>
      <c r="D7" s="14" t="s">
        <v>22</v>
      </c>
      <c r="E7" s="15">
        <f>SUMIFS('BOM detail'!$J$4:$J$14,'BOM detail'!$H$4:$H$14,"Budget estimate")</f>
        <v>135</v>
      </c>
      <c r="F7" s="15">
        <f>E7*$B$3</f>
        <v>135000</v>
      </c>
      <c r="G7" s="16" t="s">
        <v>14</v>
      </c>
      <c r="H7" s="17" t="s">
        <v>23</v>
      </c>
    </row>
    <row r="8" spans="1:8" ht="30" x14ac:dyDescent="0.25">
      <c r="A8" s="18" t="s">
        <v>24</v>
      </c>
      <c r="B8" s="19" t="s">
        <v>25</v>
      </c>
      <c r="C8" s="1"/>
      <c r="D8" s="20" t="s">
        <v>26</v>
      </c>
      <c r="E8" s="21">
        <f>E6+E7</f>
        <v>154.36822000000001</v>
      </c>
      <c r="F8" s="21">
        <f>E8*$B$3</f>
        <v>154368.22</v>
      </c>
      <c r="G8" s="22" t="s">
        <v>14</v>
      </c>
      <c r="H8" s="23" t="s">
        <v>27</v>
      </c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60" t="s">
        <v>28</v>
      </c>
      <c r="B11" s="60"/>
      <c r="C11" s="60"/>
      <c r="D11" s="60"/>
      <c r="E11" s="60"/>
      <c r="F11" s="60"/>
      <c r="G11" s="60"/>
      <c r="H11" s="60"/>
    </row>
    <row r="12" spans="1:8" ht="33.950000000000003" customHeight="1" x14ac:dyDescent="0.25">
      <c r="A12" s="61" t="s">
        <v>29</v>
      </c>
      <c r="B12" s="61"/>
      <c r="C12" s="61"/>
      <c r="D12" s="61"/>
      <c r="E12" s="61"/>
      <c r="F12" s="61"/>
      <c r="G12" s="61"/>
      <c r="H12" s="61"/>
    </row>
    <row r="13" spans="1:8" ht="33.950000000000003" customHeight="1" x14ac:dyDescent="0.25">
      <c r="A13" s="61" t="s">
        <v>30</v>
      </c>
      <c r="B13" s="61"/>
      <c r="C13" s="61"/>
      <c r="D13" s="61"/>
      <c r="E13" s="61"/>
      <c r="F13" s="61"/>
      <c r="G13" s="61"/>
      <c r="H13" s="61"/>
    </row>
    <row r="14" spans="1:8" ht="33.950000000000003" customHeight="1" x14ac:dyDescent="0.25">
      <c r="A14" s="61" t="s">
        <v>31</v>
      </c>
      <c r="B14" s="61"/>
      <c r="C14" s="61"/>
      <c r="D14" s="61"/>
      <c r="E14" s="61"/>
      <c r="F14" s="61"/>
      <c r="G14" s="61"/>
      <c r="H14" s="61"/>
    </row>
    <row r="15" spans="1:8" ht="33.950000000000003" customHeight="1" x14ac:dyDescent="0.25">
      <c r="A15" s="61" t="s">
        <v>32</v>
      </c>
      <c r="B15" s="61"/>
      <c r="C15" s="61"/>
      <c r="D15" s="61"/>
      <c r="E15" s="61"/>
      <c r="F15" s="61"/>
      <c r="G15" s="61"/>
      <c r="H15" s="61"/>
    </row>
    <row r="16" spans="1:8" ht="33.950000000000003" customHeight="1" x14ac:dyDescent="0.25">
      <c r="A16" s="61" t="s">
        <v>33</v>
      </c>
      <c r="B16" s="61"/>
      <c r="C16" s="61"/>
      <c r="D16" s="61"/>
      <c r="E16" s="61"/>
      <c r="F16" s="61"/>
      <c r="G16" s="61"/>
      <c r="H16" s="61"/>
    </row>
  </sheetData>
  <mergeCells count="7">
    <mergeCell ref="A15:H15"/>
    <mergeCell ref="A16:H16"/>
    <mergeCell ref="A1:H1"/>
    <mergeCell ref="A11:H11"/>
    <mergeCell ref="A12:H12"/>
    <mergeCell ref="A13:H13"/>
    <mergeCell ref="A14:H14"/>
  </mergeCells>
  <conditionalFormatting sqref="G4:G8">
    <cfRule type="containsText" dxfId="4" priority="1" operator="containsText" text="Low"/>
    <cfRule type="containsText" dxfId="3" priority="2" operator="containsText" text="Medium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"/>
  <sheetViews>
    <sheetView showGridLines="0" workbookViewId="0"/>
  </sheetViews>
  <sheetFormatPr defaultRowHeight="15" x14ac:dyDescent="0.25"/>
  <cols>
    <col min="1" max="1" width="30" customWidth="1"/>
    <col min="2" max="2" width="11" customWidth="1"/>
    <col min="3" max="3" width="19" customWidth="1"/>
    <col min="4" max="4" width="36" customWidth="1"/>
    <col min="5" max="5" width="11" customWidth="1"/>
    <col min="6" max="6" width="13" customWidth="1"/>
    <col min="7" max="7" width="28" customWidth="1"/>
    <col min="8" max="8" width="21" customWidth="1"/>
    <col min="9" max="9" width="16" customWidth="1"/>
    <col min="10" max="11" width="20" customWidth="1"/>
    <col min="12" max="12" width="14" customWidth="1"/>
    <col min="13" max="13" width="15" customWidth="1"/>
    <col min="14" max="14" width="48" customWidth="1"/>
    <col min="15" max="15" width="10" customWidth="1"/>
  </cols>
  <sheetData>
    <row r="1" spans="1:15" ht="21" x14ac:dyDescent="0.35">
      <c r="A1" s="62" t="s">
        <v>34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42" customHeight="1" x14ac:dyDescent="0.25">
      <c r="A3" s="24" t="s">
        <v>35</v>
      </c>
      <c r="B3" s="25" t="s">
        <v>36</v>
      </c>
      <c r="C3" s="25" t="s">
        <v>37</v>
      </c>
      <c r="D3" s="25" t="s">
        <v>38</v>
      </c>
      <c r="E3" s="25" t="s">
        <v>39</v>
      </c>
      <c r="F3" s="25" t="s">
        <v>40</v>
      </c>
      <c r="G3" s="25" t="s">
        <v>41</v>
      </c>
      <c r="H3" s="25" t="s">
        <v>42</v>
      </c>
      <c r="I3" s="25" t="s">
        <v>43</v>
      </c>
      <c r="J3" s="25" t="s">
        <v>44</v>
      </c>
      <c r="K3" s="25" t="s">
        <v>45</v>
      </c>
      <c r="L3" s="25" t="s">
        <v>46</v>
      </c>
      <c r="M3" s="25" t="s">
        <v>47</v>
      </c>
      <c r="N3" s="25" t="s">
        <v>48</v>
      </c>
      <c r="O3" s="26" t="s">
        <v>49</v>
      </c>
    </row>
    <row r="4" spans="1:15" ht="51.95" customHeight="1" x14ac:dyDescent="0.25">
      <c r="A4" s="27">
        <v>1</v>
      </c>
      <c r="B4" s="28" t="s">
        <v>50</v>
      </c>
      <c r="C4" s="28" t="s">
        <v>51</v>
      </c>
      <c r="D4" s="29" t="s">
        <v>52</v>
      </c>
      <c r="E4" s="30">
        <v>1</v>
      </c>
      <c r="F4" s="30">
        <f>E4*Summary!$B$3</f>
        <v>1000</v>
      </c>
      <c r="G4" s="29" t="s">
        <v>53</v>
      </c>
      <c r="H4" s="29" t="s">
        <v>54</v>
      </c>
      <c r="I4" s="31">
        <v>2.6236999999999999</v>
      </c>
      <c r="J4" s="31">
        <f t="shared" ref="J4:J14" si="0">E4*I4</f>
        <v>2.6236999999999999</v>
      </c>
      <c r="K4" s="31">
        <f t="shared" ref="K4:K14" si="1">F4*I4</f>
        <v>2623.7</v>
      </c>
      <c r="L4" s="32">
        <v>13664</v>
      </c>
      <c r="M4" s="32">
        <f t="shared" ref="M4:M14" si="2">IF(L4="","",L4-F4)</f>
        <v>12664</v>
      </c>
      <c r="N4" s="29" t="s">
        <v>55</v>
      </c>
      <c r="O4" s="33" t="s">
        <v>56</v>
      </c>
    </row>
    <row r="5" spans="1:15" ht="51.95" customHeight="1" x14ac:dyDescent="0.25">
      <c r="A5" s="34">
        <v>2</v>
      </c>
      <c r="B5" s="35" t="s">
        <v>50</v>
      </c>
      <c r="C5" s="35" t="s">
        <v>57</v>
      </c>
      <c r="D5" s="36" t="s">
        <v>58</v>
      </c>
      <c r="E5" s="37">
        <v>1</v>
      </c>
      <c r="F5" s="37">
        <f>E5*Summary!$B$3</f>
        <v>1000</v>
      </c>
      <c r="G5" s="36" t="s">
        <v>59</v>
      </c>
      <c r="H5" s="36" t="s">
        <v>54</v>
      </c>
      <c r="I5" s="38">
        <v>1.75</v>
      </c>
      <c r="J5" s="38">
        <f t="shared" si="0"/>
        <v>1.75</v>
      </c>
      <c r="K5" s="38">
        <f t="shared" si="1"/>
        <v>1750</v>
      </c>
      <c r="L5" s="39">
        <v>6087</v>
      </c>
      <c r="M5" s="39">
        <f t="shared" si="2"/>
        <v>5087</v>
      </c>
      <c r="N5" s="36" t="s">
        <v>60</v>
      </c>
      <c r="O5" s="40" t="s">
        <v>61</v>
      </c>
    </row>
    <row r="6" spans="1:15" ht="51.95" customHeight="1" x14ac:dyDescent="0.25">
      <c r="A6" s="34">
        <v>3</v>
      </c>
      <c r="B6" s="35" t="s">
        <v>50</v>
      </c>
      <c r="C6" s="35" t="s">
        <v>62</v>
      </c>
      <c r="D6" s="36" t="s">
        <v>63</v>
      </c>
      <c r="E6" s="37">
        <v>1</v>
      </c>
      <c r="F6" s="37">
        <f>E6*Summary!$B$3</f>
        <v>1000</v>
      </c>
      <c r="G6" s="36" t="s">
        <v>64</v>
      </c>
      <c r="H6" s="36" t="s">
        <v>65</v>
      </c>
      <c r="I6" s="38">
        <v>0.9</v>
      </c>
      <c r="J6" s="38">
        <f t="shared" si="0"/>
        <v>0.9</v>
      </c>
      <c r="K6" s="38">
        <f t="shared" si="1"/>
        <v>900</v>
      </c>
      <c r="L6" s="39"/>
      <c r="M6" s="39" t="str">
        <f t="shared" si="2"/>
        <v/>
      </c>
      <c r="N6" s="36" t="s">
        <v>66</v>
      </c>
      <c r="O6" s="40" t="s">
        <v>67</v>
      </c>
    </row>
    <row r="7" spans="1:15" ht="51.95" customHeight="1" x14ac:dyDescent="0.25">
      <c r="A7" s="34">
        <v>4</v>
      </c>
      <c r="B7" s="35" t="s">
        <v>50</v>
      </c>
      <c r="C7" s="35" t="s">
        <v>68</v>
      </c>
      <c r="D7" s="36" t="s">
        <v>69</v>
      </c>
      <c r="E7" s="37">
        <v>1</v>
      </c>
      <c r="F7" s="37">
        <f>E7*Summary!$B$3</f>
        <v>1000</v>
      </c>
      <c r="G7" s="36" t="s">
        <v>70</v>
      </c>
      <c r="H7" s="36" t="s">
        <v>54</v>
      </c>
      <c r="I7" s="38">
        <v>0.12485</v>
      </c>
      <c r="J7" s="38">
        <f t="shared" si="0"/>
        <v>0.12485</v>
      </c>
      <c r="K7" s="38">
        <f t="shared" si="1"/>
        <v>124.85000000000001</v>
      </c>
      <c r="L7" s="39">
        <v>30409</v>
      </c>
      <c r="M7" s="39">
        <f t="shared" si="2"/>
        <v>29409</v>
      </c>
      <c r="N7" s="36" t="s">
        <v>71</v>
      </c>
      <c r="O7" s="40" t="s">
        <v>72</v>
      </c>
    </row>
    <row r="8" spans="1:15" ht="51.95" customHeight="1" x14ac:dyDescent="0.25">
      <c r="A8" s="34">
        <v>5</v>
      </c>
      <c r="B8" s="35" t="s">
        <v>50</v>
      </c>
      <c r="C8" s="35" t="s">
        <v>73</v>
      </c>
      <c r="D8" s="36" t="s">
        <v>74</v>
      </c>
      <c r="E8" s="37">
        <v>1</v>
      </c>
      <c r="F8" s="37">
        <f>E8*Summary!$B$3</f>
        <v>1000</v>
      </c>
      <c r="G8" s="36" t="s">
        <v>70</v>
      </c>
      <c r="H8" s="36" t="s">
        <v>54</v>
      </c>
      <c r="I8" s="38">
        <v>0.10141</v>
      </c>
      <c r="J8" s="38">
        <f t="shared" si="0"/>
        <v>0.10141</v>
      </c>
      <c r="K8" s="38">
        <f t="shared" si="1"/>
        <v>101.41</v>
      </c>
      <c r="L8" s="39">
        <v>112</v>
      </c>
      <c r="M8" s="39">
        <f t="shared" si="2"/>
        <v>-888</v>
      </c>
      <c r="N8" s="36" t="s">
        <v>75</v>
      </c>
      <c r="O8" s="40" t="s">
        <v>76</v>
      </c>
    </row>
    <row r="9" spans="1:15" ht="51.95" customHeight="1" x14ac:dyDescent="0.25">
      <c r="A9" s="34">
        <v>6</v>
      </c>
      <c r="B9" s="35" t="s">
        <v>50</v>
      </c>
      <c r="C9" s="35" t="s">
        <v>77</v>
      </c>
      <c r="D9" s="36" t="s">
        <v>78</v>
      </c>
      <c r="E9" s="37">
        <v>2</v>
      </c>
      <c r="F9" s="37">
        <f>E9*Summary!$B$3</f>
        <v>2000</v>
      </c>
      <c r="G9" s="36" t="s">
        <v>79</v>
      </c>
      <c r="H9" s="36" t="s">
        <v>54</v>
      </c>
      <c r="I9" s="38">
        <v>0.2475</v>
      </c>
      <c r="J9" s="38">
        <f t="shared" si="0"/>
        <v>0.495</v>
      </c>
      <c r="K9" s="38">
        <f t="shared" si="1"/>
        <v>495</v>
      </c>
      <c r="L9" s="39">
        <v>1959</v>
      </c>
      <c r="M9" s="39">
        <f t="shared" si="2"/>
        <v>-41</v>
      </c>
      <c r="N9" s="36" t="s">
        <v>80</v>
      </c>
      <c r="O9" s="40" t="s">
        <v>81</v>
      </c>
    </row>
    <row r="10" spans="1:15" ht="51.95" customHeight="1" x14ac:dyDescent="0.25">
      <c r="A10" s="34">
        <v>7</v>
      </c>
      <c r="B10" s="35" t="s">
        <v>82</v>
      </c>
      <c r="C10" s="35" t="s">
        <v>83</v>
      </c>
      <c r="D10" s="36" t="s">
        <v>84</v>
      </c>
      <c r="E10" s="37">
        <v>1</v>
      </c>
      <c r="F10" s="37">
        <f>E10*Summary!$B$3</f>
        <v>1000</v>
      </c>
      <c r="G10" s="36" t="s">
        <v>85</v>
      </c>
      <c r="H10" s="36" t="s">
        <v>54</v>
      </c>
      <c r="I10" s="38">
        <v>0.157</v>
      </c>
      <c r="J10" s="38">
        <f t="shared" si="0"/>
        <v>0.157</v>
      </c>
      <c r="K10" s="38">
        <f t="shared" si="1"/>
        <v>157</v>
      </c>
      <c r="L10" s="39">
        <v>782</v>
      </c>
      <c r="M10" s="39">
        <f t="shared" si="2"/>
        <v>-218</v>
      </c>
      <c r="N10" s="36" t="s">
        <v>86</v>
      </c>
      <c r="O10" s="40" t="s">
        <v>87</v>
      </c>
    </row>
    <row r="11" spans="1:15" ht="51.95" customHeight="1" x14ac:dyDescent="0.25">
      <c r="A11" s="34">
        <v>8</v>
      </c>
      <c r="B11" s="35" t="s">
        <v>82</v>
      </c>
      <c r="C11" s="35" t="s">
        <v>68</v>
      </c>
      <c r="D11" s="36" t="s">
        <v>69</v>
      </c>
      <c r="E11" s="37">
        <v>1</v>
      </c>
      <c r="F11" s="37">
        <f>E11*Summary!$B$3</f>
        <v>1000</v>
      </c>
      <c r="G11" s="36" t="s">
        <v>70</v>
      </c>
      <c r="H11" s="36" t="s">
        <v>54</v>
      </c>
      <c r="I11" s="38">
        <v>0.12485</v>
      </c>
      <c r="J11" s="38">
        <f t="shared" si="0"/>
        <v>0.12485</v>
      </c>
      <c r="K11" s="38">
        <f t="shared" si="1"/>
        <v>124.85000000000001</v>
      </c>
      <c r="L11" s="39">
        <v>30409</v>
      </c>
      <c r="M11" s="39">
        <f t="shared" si="2"/>
        <v>29409</v>
      </c>
      <c r="N11" s="36" t="s">
        <v>88</v>
      </c>
      <c r="O11" s="40" t="s">
        <v>72</v>
      </c>
    </row>
    <row r="12" spans="1:15" ht="51.95" customHeight="1" x14ac:dyDescent="0.25">
      <c r="A12" s="34">
        <v>9</v>
      </c>
      <c r="B12" s="35" t="s">
        <v>82</v>
      </c>
      <c r="C12" s="35" t="s">
        <v>73</v>
      </c>
      <c r="D12" s="36" t="s">
        <v>74</v>
      </c>
      <c r="E12" s="37">
        <v>1</v>
      </c>
      <c r="F12" s="37">
        <f>E12*Summary!$B$3</f>
        <v>1000</v>
      </c>
      <c r="G12" s="36" t="s">
        <v>70</v>
      </c>
      <c r="H12" s="36" t="s">
        <v>54</v>
      </c>
      <c r="I12" s="38">
        <v>0.10141</v>
      </c>
      <c r="J12" s="38">
        <f t="shared" si="0"/>
        <v>0.10141</v>
      </c>
      <c r="K12" s="38">
        <f t="shared" si="1"/>
        <v>101.41</v>
      </c>
      <c r="L12" s="39">
        <v>112</v>
      </c>
      <c r="M12" s="39">
        <f t="shared" si="2"/>
        <v>-888</v>
      </c>
      <c r="N12" s="36" t="s">
        <v>89</v>
      </c>
      <c r="O12" s="40" t="s">
        <v>76</v>
      </c>
    </row>
    <row r="13" spans="1:15" ht="51.95" customHeight="1" x14ac:dyDescent="0.25">
      <c r="A13" s="34">
        <v>10</v>
      </c>
      <c r="B13" s="35" t="s">
        <v>82</v>
      </c>
      <c r="C13" s="35" t="s">
        <v>90</v>
      </c>
      <c r="D13" s="36" t="s">
        <v>91</v>
      </c>
      <c r="E13" s="37">
        <v>1</v>
      </c>
      <c r="F13" s="37">
        <f>E13*Summary!$B$3</f>
        <v>1000</v>
      </c>
      <c r="G13" s="36" t="s">
        <v>92</v>
      </c>
      <c r="H13" s="36" t="s">
        <v>93</v>
      </c>
      <c r="I13" s="38">
        <v>135</v>
      </c>
      <c r="J13" s="38">
        <f t="shared" si="0"/>
        <v>135</v>
      </c>
      <c r="K13" s="38">
        <f t="shared" si="1"/>
        <v>135000</v>
      </c>
      <c r="L13" s="39"/>
      <c r="M13" s="39" t="str">
        <f t="shared" si="2"/>
        <v/>
      </c>
      <c r="N13" s="36" t="s">
        <v>94</v>
      </c>
      <c r="O13" s="40" t="s">
        <v>95</v>
      </c>
    </row>
    <row r="14" spans="1:15" ht="51.95" customHeight="1" x14ac:dyDescent="0.25">
      <c r="A14" s="41">
        <v>11</v>
      </c>
      <c r="B14" s="42" t="s">
        <v>82</v>
      </c>
      <c r="C14" s="42" t="s">
        <v>96</v>
      </c>
      <c r="D14" s="43" t="s">
        <v>97</v>
      </c>
      <c r="E14" s="44">
        <v>1</v>
      </c>
      <c r="F14" s="44">
        <f>E14*Summary!$B$3</f>
        <v>1000</v>
      </c>
      <c r="G14" s="43" t="s">
        <v>98</v>
      </c>
      <c r="H14" s="43" t="s">
        <v>99</v>
      </c>
      <c r="I14" s="45">
        <v>12.99</v>
      </c>
      <c r="J14" s="45">
        <f t="shared" si="0"/>
        <v>12.99</v>
      </c>
      <c r="K14" s="45">
        <f t="shared" si="1"/>
        <v>12990</v>
      </c>
      <c r="L14" s="46">
        <v>0</v>
      </c>
      <c r="M14" s="46">
        <f t="shared" si="2"/>
        <v>-1000</v>
      </c>
      <c r="N14" s="43" t="s">
        <v>100</v>
      </c>
      <c r="O14" s="47" t="s">
        <v>101</v>
      </c>
    </row>
    <row r="15" spans="1:1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60" t="s">
        <v>102</v>
      </c>
      <c r="B16" s="60"/>
      <c r="C16" s="60"/>
      <c r="D16" s="60"/>
      <c r="E16" s="60"/>
      <c r="F16" s="60"/>
      <c r="G16" s="60"/>
      <c r="H16" s="60"/>
      <c r="I16" s="1"/>
      <c r="J16" s="1"/>
      <c r="K16" s="1"/>
      <c r="L16" s="1"/>
      <c r="M16" s="1"/>
      <c r="N16" s="1"/>
      <c r="O16" s="1"/>
    </row>
    <row r="17" spans="1:15" x14ac:dyDescent="0.25">
      <c r="A17" s="48" t="s">
        <v>103</v>
      </c>
      <c r="B17" s="48" t="s">
        <v>3</v>
      </c>
      <c r="C17" s="48" t="s">
        <v>104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 t="s">
        <v>50</v>
      </c>
      <c r="B18" s="49">
        <f>SUMIF($B$4:$B$14,"UC-F10",$J$4:$J$14)</f>
        <v>5.9949599999999998</v>
      </c>
      <c r="C18" s="49">
        <f>B18*Summary!$B$3</f>
        <v>5994.96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1" t="s">
        <v>105</v>
      </c>
      <c r="B19" s="49">
        <f>SUMIF($B$4:$B$14,"UC-F11",$J$4:$J$14)</f>
        <v>148.37326000000002</v>
      </c>
      <c r="C19" s="49">
        <f>B19*Summary!$B$3</f>
        <v>148373.26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50" t="s">
        <v>106</v>
      </c>
      <c r="B20" s="51">
        <f>SUM($B$18:$B$19)</f>
        <v>154.36822000000001</v>
      </c>
      <c r="C20" s="51">
        <f>B20*Summary!$B$3</f>
        <v>154368.22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</sheetData>
  <mergeCells count="2">
    <mergeCell ref="A1:O1"/>
    <mergeCell ref="A16:H16"/>
  </mergeCells>
  <conditionalFormatting sqref="H4:H14">
    <cfRule type="containsText" dxfId="2" priority="1" operator="containsText" text="Budget"/>
    <cfRule type="containsText" dxfId="1" priority="2" operator="containsText" text="Discontinued"/>
  </conditionalFormatting>
  <conditionalFormatting sqref="M4:M14">
    <cfRule type="cellIs" dxfId="0" priority="3" operator="lessThan">
      <formula>0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showGridLines="0" workbookViewId="0"/>
  </sheetViews>
  <sheetFormatPr defaultRowHeight="15" x14ac:dyDescent="0.25"/>
  <cols>
    <col min="1" max="1" width="8" customWidth="1"/>
    <col min="2" max="2" width="20" customWidth="1"/>
    <col min="3" max="3" width="22" customWidth="1"/>
    <col min="4" max="4" width="38" customWidth="1"/>
    <col min="5" max="5" width="13" customWidth="1"/>
    <col min="6" max="6" width="72" customWidth="1"/>
    <col min="7" max="7" width="48" customWidth="1"/>
  </cols>
  <sheetData>
    <row r="1" spans="1:7" ht="21" x14ac:dyDescent="0.35">
      <c r="A1" s="62" t="s">
        <v>107</v>
      </c>
      <c r="B1" s="62"/>
      <c r="C1" s="62"/>
      <c r="D1" s="62"/>
      <c r="E1" s="62"/>
      <c r="F1" s="62"/>
      <c r="G1" s="62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52" t="s">
        <v>108</v>
      </c>
      <c r="B3" s="53" t="s">
        <v>109</v>
      </c>
      <c r="C3" s="53" t="s">
        <v>110</v>
      </c>
      <c r="D3" s="53" t="s">
        <v>111</v>
      </c>
      <c r="E3" s="53" t="s">
        <v>112</v>
      </c>
      <c r="F3" s="53" t="s">
        <v>113</v>
      </c>
      <c r="G3" s="54" t="s">
        <v>114</v>
      </c>
    </row>
    <row r="4" spans="1:7" ht="45.95" customHeight="1" x14ac:dyDescent="0.25">
      <c r="A4" s="34" t="s">
        <v>56</v>
      </c>
      <c r="B4" s="35" t="s">
        <v>51</v>
      </c>
      <c r="C4" s="35" t="s">
        <v>115</v>
      </c>
      <c r="D4" s="36" t="s">
        <v>116</v>
      </c>
      <c r="E4" s="55">
        <v>46226</v>
      </c>
      <c r="F4" s="36" t="s">
        <v>117</v>
      </c>
      <c r="G4" s="56" t="s">
        <v>118</v>
      </c>
    </row>
    <row r="5" spans="1:7" ht="45.95" customHeight="1" x14ac:dyDescent="0.25">
      <c r="A5" s="34" t="s">
        <v>61</v>
      </c>
      <c r="B5" s="35" t="s">
        <v>57</v>
      </c>
      <c r="C5" s="35" t="s">
        <v>119</v>
      </c>
      <c r="D5" s="36" t="s">
        <v>120</v>
      </c>
      <c r="E5" s="55">
        <v>46226</v>
      </c>
      <c r="F5" s="36" t="s">
        <v>121</v>
      </c>
      <c r="G5" s="56" t="s">
        <v>122</v>
      </c>
    </row>
    <row r="6" spans="1:7" ht="45.95" customHeight="1" x14ac:dyDescent="0.25">
      <c r="A6" s="34" t="s">
        <v>67</v>
      </c>
      <c r="B6" s="35" t="s">
        <v>62</v>
      </c>
      <c r="C6" s="35" t="s">
        <v>123</v>
      </c>
      <c r="D6" s="36" t="s">
        <v>124</v>
      </c>
      <c r="E6" s="55">
        <v>46226</v>
      </c>
      <c r="F6" s="36" t="s">
        <v>125</v>
      </c>
      <c r="G6" s="56" t="s">
        <v>126</v>
      </c>
    </row>
    <row r="7" spans="1:7" ht="45.95" customHeight="1" x14ac:dyDescent="0.25">
      <c r="A7" s="34" t="s">
        <v>72</v>
      </c>
      <c r="B7" s="35" t="s">
        <v>127</v>
      </c>
      <c r="C7" s="35" t="s">
        <v>128</v>
      </c>
      <c r="D7" s="36" t="s">
        <v>129</v>
      </c>
      <c r="E7" s="55">
        <v>46226</v>
      </c>
      <c r="F7" s="36" t="s">
        <v>130</v>
      </c>
      <c r="G7" s="56" t="s">
        <v>131</v>
      </c>
    </row>
    <row r="8" spans="1:7" ht="45.95" customHeight="1" x14ac:dyDescent="0.25">
      <c r="A8" s="34" t="s">
        <v>76</v>
      </c>
      <c r="B8" s="35" t="s">
        <v>73</v>
      </c>
      <c r="C8" s="35" t="s">
        <v>128</v>
      </c>
      <c r="D8" s="36" t="s">
        <v>132</v>
      </c>
      <c r="E8" s="55">
        <v>46226</v>
      </c>
      <c r="F8" s="36" t="s">
        <v>133</v>
      </c>
      <c r="G8" s="56" t="s">
        <v>134</v>
      </c>
    </row>
    <row r="9" spans="1:7" ht="45.95" customHeight="1" x14ac:dyDescent="0.25">
      <c r="A9" s="34" t="s">
        <v>81</v>
      </c>
      <c r="B9" s="35" t="s">
        <v>77</v>
      </c>
      <c r="C9" s="35" t="s">
        <v>115</v>
      </c>
      <c r="D9" s="36" t="s">
        <v>135</v>
      </c>
      <c r="E9" s="55">
        <v>46226</v>
      </c>
      <c r="F9" s="36" t="s">
        <v>136</v>
      </c>
      <c r="G9" s="56" t="s">
        <v>137</v>
      </c>
    </row>
    <row r="10" spans="1:7" ht="45.95" customHeight="1" x14ac:dyDescent="0.25">
      <c r="A10" s="34" t="s">
        <v>87</v>
      </c>
      <c r="B10" s="35" t="s">
        <v>138</v>
      </c>
      <c r="C10" s="35" t="s">
        <v>139</v>
      </c>
      <c r="D10" s="36" t="s">
        <v>140</v>
      </c>
      <c r="E10" s="55">
        <v>46226</v>
      </c>
      <c r="F10" s="36" t="s">
        <v>141</v>
      </c>
      <c r="G10" s="56" t="s">
        <v>142</v>
      </c>
    </row>
    <row r="11" spans="1:7" ht="45.95" customHeight="1" x14ac:dyDescent="0.25">
      <c r="A11" s="34" t="s">
        <v>95</v>
      </c>
      <c r="B11" s="35" t="s">
        <v>90</v>
      </c>
      <c r="C11" s="35" t="s">
        <v>143</v>
      </c>
      <c r="D11" s="36" t="s">
        <v>144</v>
      </c>
      <c r="E11" s="55">
        <v>46226</v>
      </c>
      <c r="F11" s="36" t="s">
        <v>145</v>
      </c>
      <c r="G11" s="56" t="s">
        <v>146</v>
      </c>
    </row>
    <row r="12" spans="1:7" ht="45.95" customHeight="1" x14ac:dyDescent="0.25">
      <c r="A12" s="41" t="s">
        <v>101</v>
      </c>
      <c r="B12" s="42" t="s">
        <v>147</v>
      </c>
      <c r="C12" s="42" t="s">
        <v>148</v>
      </c>
      <c r="D12" s="43" t="s">
        <v>149</v>
      </c>
      <c r="E12" s="57">
        <v>46226</v>
      </c>
      <c r="F12" s="43" t="s">
        <v>150</v>
      </c>
      <c r="G12" s="58" t="s">
        <v>151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BOM detail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Bartosz Ziolek</cp:lastModifiedBy>
  <dcterms:modified xsi:type="dcterms:W3CDTF">2026-07-23T08:44:48Z</dcterms:modified>
</cp:coreProperties>
</file>